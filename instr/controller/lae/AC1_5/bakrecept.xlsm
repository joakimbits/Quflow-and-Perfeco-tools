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630" yWindow="0" windowWidth="6570" windowHeight="1170"/>
  </bookViews>
  <sheets>
    <sheet name="Recept" sheetId="1" r:id="rId1"/>
    <sheet name="Installation" sheetId="2" r:id="rId2"/>
    <sheet name="Dokumentation" sheetId="3" r:id="rId3"/>
  </sheets>
  <definedNames>
    <definedName name="comport">Recept!$B$1</definedName>
    <definedName name="degCmin">Recept!$H$1:$I$1</definedName>
    <definedName name="program">Recept!$B$2</definedName>
    <definedName name="python">Recept!$B$2</definedName>
    <definedName name="report">Recept!$A$24:$D$46</definedName>
    <definedName name="service">Recept!$B$3</definedName>
    <definedName name="stop">Recept!$C$7</definedName>
  </definedNames>
  <calcPr calcId="145621"/>
</workbook>
</file>

<file path=xl/calcChain.xml><?xml version="1.0" encoding="utf-8"?>
<calcChain xmlns="http://schemas.openxmlformats.org/spreadsheetml/2006/main">
  <c r="L23" i="1" l="1"/>
  <c r="L22" i="1"/>
  <c r="L21" i="1"/>
  <c r="L20" i="1"/>
  <c r="L19" i="1"/>
  <c r="L18" i="1"/>
  <c r="L17" i="1"/>
  <c r="L16" i="1"/>
  <c r="L15" i="1"/>
  <c r="L14" i="1"/>
  <c r="L13" i="1"/>
  <c r="L12" i="1"/>
  <c r="L11" i="1"/>
  <c r="L10" i="1"/>
  <c r="L9" i="1"/>
  <c r="L8" i="1"/>
  <c r="L7" i="1"/>
  <c r="L6" i="1"/>
  <c r="L5" i="1"/>
  <c r="L4" i="1"/>
  <c r="L3" i="1"/>
  <c r="L2" i="1"/>
  <c r="J3" i="1" s="1"/>
  <c r="K23" i="1"/>
  <c r="K22" i="1"/>
  <c r="K21" i="1"/>
  <c r="K20" i="1"/>
  <c r="K19" i="1"/>
  <c r="K18" i="1"/>
  <c r="K17" i="1"/>
  <c r="K16" i="1"/>
  <c r="K15" i="1"/>
  <c r="K14" i="1"/>
  <c r="K13" i="1"/>
  <c r="K12" i="1"/>
  <c r="K11" i="1"/>
  <c r="K10" i="1"/>
  <c r="K9" i="1"/>
  <c r="K8" i="1"/>
  <c r="K6" i="1"/>
  <c r="K5" i="1"/>
  <c r="K4" i="1"/>
  <c r="K3" i="1"/>
  <c r="K2" i="1"/>
  <c r="K7" i="1"/>
  <c r="G27" i="1"/>
  <c r="G26" i="1"/>
  <c r="J4" i="1" l="1"/>
  <c r="J5" i="1" s="1"/>
  <c r="J6" i="1" s="1"/>
  <c r="J7" i="1" s="1"/>
  <c r="J8" i="1" s="1"/>
  <c r="J9" i="1" s="1"/>
  <c r="J10" i="1" s="1"/>
  <c r="J11" i="1" s="1"/>
  <c r="J12" i="1" s="1"/>
  <c r="J13" i="1" s="1"/>
  <c r="J14" i="1" s="1"/>
  <c r="J15" i="1" s="1"/>
  <c r="J16" i="1" s="1"/>
  <c r="J17" i="1" s="1"/>
  <c r="J18" i="1" s="1"/>
  <c r="J19" i="1" s="1"/>
  <c r="J20" i="1" s="1"/>
  <c r="J21" i="1" s="1"/>
  <c r="J22" i="1" s="1"/>
  <c r="J23" i="1" s="1"/>
  <c r="G28" i="1" l="1"/>
  <c r="F28" i="1" s="1"/>
</calcChain>
</file>

<file path=xl/sharedStrings.xml><?xml version="1.0" encoding="utf-8"?>
<sst xmlns="http://schemas.openxmlformats.org/spreadsheetml/2006/main" count="61" uniqueCount="52">
  <si>
    <t>minuter</t>
  </si>
  <si>
    <t>C:\Python27\python</t>
  </si>
  <si>
    <t>Tjänst</t>
  </si>
  <si>
    <t>Port</t>
  </si>
  <si>
    <t>Program</t>
  </si>
  <si>
    <t>Program (°C)</t>
  </si>
  <si>
    <t>Styr (°C)</t>
  </si>
  <si>
    <t>Mät (°C)</t>
  </si>
  <si>
    <t>Mättid</t>
  </si>
  <si>
    <t>COM25</t>
  </si>
  <si>
    <t>Börja baka</t>
  </si>
  <si>
    <t>Avbryt bakning</t>
  </si>
  <si>
    <t>dagar</t>
  </si>
  <si>
    <t>Steg (°C)</t>
  </si>
  <si>
    <t>Minuter</t>
  </si>
  <si>
    <t>X-axel inställningar</t>
  </si>
  <si>
    <t>Tidpunkt (hh:mm)</t>
  </si>
  <si>
    <t>Väntetid (hh:mm)</t>
  </si>
  <si>
    <t>Styrtid</t>
  </si>
  <si>
    <t>2. Öppna devmgmt.msc</t>
  </si>
  <si>
    <t>4. Öppna C:\bakrecept.xlsm</t>
  </si>
  <si>
    <t>Installation</t>
  </si>
  <si>
    <t>Temperaturregulatorns USB Serial Port</t>
  </si>
  <si>
    <t>degCmin</t>
  </si>
  <si>
    <t>comport</t>
  </si>
  <si>
    <t>Exempel</t>
  </si>
  <si>
    <t>Titlar över styrdata (måste innehålla "°C" respektive "min"</t>
  </si>
  <si>
    <t>program</t>
  </si>
  <si>
    <t>Beskrivning</t>
  </si>
  <si>
    <t>Program som körs när man trycker på startknappen</t>
  </si>
  <si>
    <t>report</t>
  </si>
  <si>
    <t>Titlar över rapportdata (styr- och mätdata hamnar här)</t>
  </si>
  <si>
    <t>service</t>
  </si>
  <si>
    <t>C:\Python27\Lib\site-packages\excelbaker.py</t>
  </si>
  <si>
    <t>stop</t>
  </si>
  <si>
    <t>Flagga som sätts om man trycker på stop-knappen</t>
  </si>
  <si>
    <t>Parameter</t>
  </si>
  <si>
    <t>5. Tillåt makron.</t>
  </si>
  <si>
    <t>6. Skriv in vilken port som sladdens "USB Serial Port" hamnat på i den markerade cellen</t>
  </si>
  <si>
    <t>7. Skriv in önskade temperaturinställningar respektive väntetider.</t>
  </si>
  <si>
    <t>8. Spara.</t>
  </si>
  <si>
    <t>9. Högerklicka på filen, välj "Egenskaper", klicka i Skrivskydd och tryck OK.</t>
  </si>
  <si>
    <t>10. Testa genom att öppna filen,  trycka på START-knappen och kontrollera att temperaturen följer programmet.</t>
  </si>
  <si>
    <t>1. Packa upp baker.zip till C:\. Sätt systemvariabeln PYTHONPATH till C:\Python27.</t>
  </si>
  <si>
    <t>Användning</t>
  </si>
  <si>
    <t>Receptet har en START-knapp och en STOP-knapp, en lista av temperaturinställningar, en graf och en resultattabell. Dessutom finns några fält som styr vilken serieport, program och skript som som används för att köra receptet.
Receptets indata är de blåmarkerade cellerna. Där skall man lista temperaturer i enheten °C med tillhörande väntetid i enheten minuter. Receptets indata plottas i grafen tillsammans med data som genereras av styrprogramet under tiden receptet körs. Grafen och genererad data använder tidenheten dygn för att visas prydligare i Excel.
Om totaltiden för receptet har ändrats behöver man också skriva in den som maktid för x-axeln på grafen i enheten dygn. Den tiden anges i en cell under grafen.     
Receptet startas när man trycket på START-knappen. Om alla parametrarna är rätt inställda växer data fram grafen och i rapporten. Om man trycker på STOP-knappen avbryts receptet inom 1 sekund.  
Vid frågor, kontakta Joakim Pettersson eller Anders Hedberg på Join, telefon 046-2863400.</t>
  </si>
  <si>
    <t>Skript som startar när man trycker på startknappen</t>
  </si>
  <si>
    <t>3. Plugga i USB-sladden och notera vilken COM port dess USB Serial Port hamnar på.</t>
  </si>
  <si>
    <t>Följande filer behöver alltid kopieras över: excelbaker.py, exceldocument.py och modbus.py.</t>
  </si>
  <si>
    <t xml:space="preserve">Vid eventuell uppgradering av Python rekommenderas Enthought Python. </t>
  </si>
  <si>
    <t xml:space="preserve">Öppna sedan skriptet i IDLE och tryck F5 för att få fram vilka övriga moduler som saknas. </t>
  </si>
  <si>
    <t>Installera dessa från en CMD promt med %PYTHONPATH%\Scripts\easy_install &lt;modulnamn&gt;.</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</si>
</sst>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0.00&quot; &quot;[$kr-41D];[Red]&quot;-&quot;#,##0.00&quot; &quot;[$kr-41D]"/>
    <numFmt numFmtId="165" formatCode="hh:mm;@"/>
    <numFmt numFmtId="166" formatCode="hh:mm:ss;@"/>
    <numFmt numFmtId="167" formatCode="yyyy/mm/dd\ hh:mm;@"/>
    <numFmt numFmtId="168" formatCode="[$-F400]h:mm:ss\ AM/PM"/>
  </numFmts>
  <fonts count="4" x14ac:knownFonts="1">
    <font>
      <sz val="11"/>
      <color rgb="FF000000"/>
      <name val="Calibri"/>
      <family val="2"/>
    </font>
    <font>
      <b/>
      <i/>
      <sz val="16"/>
      <color rgb="FF000000"/>
      <name val="Calibri"/>
      <family val="2"/>
    </font>
    <font>
      <b/>
      <i/>
      <u/>
      <sz val="11"/>
      <color rgb="FF000000"/>
      <name val="Calibri"/>
      <family val="2"/>
    </font>
    <font>
      <u/>
      <sz val="11"/>
      <color rgb="FF000000"/>
      <name val="Calibri"/>
      <family val="2"/>
    </font>
  </fonts>
  <fills count="3">
    <fill>
      <patternFill patternType="none"/>
    </fill>
    <fill>
      <patternFill patternType="gray125"/>
    </fill>
    <fill>
      <patternFill patternType="solid">
        <fgColor theme="3" tint="0.79998168889431442"/>
        <bgColor indexed="64"/>
      </patternFill>
    </fill>
  </fills>
  <borders count="1">
    <border>
      <left/>
      <right/>
      <top/>
      <bottom/>
      <diagonal/>
    </border>
  </borders>
  <cellStyleXfs count="5">
    <xf numFmtId="0" fontId="0" fillId="0" borderId="0"/>
    <xf numFmtId="0" fontId="1" fillId="0" borderId="0">
      <alignment horizontal="center"/>
    </xf>
    <xf numFmtId="0" fontId="1" fillId="0" borderId="0">
      <alignment horizontal="center" textRotation="90"/>
    </xf>
    <xf numFmtId="0" fontId="2" fillId="0" borderId="0"/>
    <xf numFmtId="164" fontId="2" fillId="0" borderId="0"/>
  </cellStyleXfs>
  <cellXfs count="19">
    <xf numFmtId="0" fontId="0" fillId="0" borderId="0" xfId="0"/>
    <xf numFmtId="0" fontId="0" fillId="0" borderId="0" xfId="0" applyAlignment="1">
      <alignment horizontal="right"/>
    </xf>
    <xf numFmtId="165" fontId="0" fillId="0" borderId="0" xfId="0" applyNumberFormat="1" applyAlignment="1">
      <alignment horizontal="right"/>
    </xf>
    <xf numFmtId="165" fontId="0" fillId="0" borderId="0" xfId="0" applyNumberFormat="1"/>
    <xf numFmtId="0" fontId="0" fillId="0" borderId="0" xfId="0" applyNumberFormat="1"/>
    <xf numFmtId="20" fontId="0" fillId="0" borderId="0" xfId="0" applyNumberFormat="1"/>
    <xf numFmtId="166" fontId="0" fillId="0" borderId="0" xfId="0" applyNumberFormat="1"/>
    <xf numFmtId="166" fontId="0" fillId="0" borderId="0" xfId="0" applyNumberFormat="1" applyAlignment="1">
      <alignment horizontal="right"/>
    </xf>
    <xf numFmtId="0" fontId="0" fillId="2" borderId="0" xfId="0" applyNumberFormat="1" applyFill="1"/>
    <xf numFmtId="0" fontId="0" fillId="2" borderId="0" xfId="0" applyFill="1"/>
    <xf numFmtId="0" fontId="3" fillId="0" borderId="0" xfId="0" applyFont="1"/>
    <xf numFmtId="0" fontId="3" fillId="0" borderId="0" xfId="0" applyNumberFormat="1" applyFont="1"/>
    <xf numFmtId="165" fontId="3" fillId="0" borderId="0" xfId="0" applyNumberFormat="1" applyFont="1" applyAlignment="1">
      <alignment horizontal="left"/>
    </xf>
    <xf numFmtId="167" fontId="3" fillId="0" borderId="0" xfId="0" applyNumberFormat="1" applyFont="1"/>
    <xf numFmtId="0" fontId="0" fillId="0" borderId="0" xfId="0" applyAlignment="1">
      <alignment horizontal="left"/>
    </xf>
    <xf numFmtId="168" fontId="0" fillId="0" borderId="0" xfId="0" applyNumberFormat="1"/>
    <xf numFmtId="0" fontId="0" fillId="0" borderId="0" xfId="0" applyAlignment="1"/>
    <xf numFmtId="0" fontId="0" fillId="0" borderId="0" xfId="0" applyAlignment="1">
      <alignment vertical="center" wrapText="1"/>
    </xf>
    <xf numFmtId="0" fontId="3" fillId="0" borderId="0" xfId="0" applyFont="1" applyAlignment="1">
      <alignment wrapText="1"/>
    </xf>
  </cellXfs>
  <cellStyles count="5">
    <cellStyle name="Heading" xfId="1"/>
    <cellStyle name="Heading1" xfId="2"/>
    <cellStyle name="Normal" xfId="0" builtinId="0" customBuiltin="1"/>
    <cellStyle name="Result" xfId="3"/>
    <cellStyle name="Result2" xfId="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sv-S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Recept!$H$1</c:f>
              <c:strCache>
                <c:ptCount val="1"/>
                <c:pt idx="0">
                  <c:v>Program (°C)</c:v>
                </c:pt>
              </c:strCache>
            </c:strRef>
          </c:tx>
          <c:spPr>
            <a:ln>
              <a:noFill/>
            </a:ln>
          </c:spPr>
          <c:errBars>
            <c:errDir val="x"/>
            <c:errBarType val="plus"/>
            <c:errValType val="cust"/>
            <c:noEndCap val="1"/>
            <c:plus>
              <c:numRef>
                <c:f>Recept!$L$2:$L$23</c:f>
                <c:numCache>
                  <c:formatCode>General</c:formatCode>
                  <c:ptCount val="22"/>
                  <c:pt idx="0">
                    <c:v>3.472222222222222E-3</c:v>
                  </c:pt>
                  <c:pt idx="1">
                    <c:v>6.9444444444444441E-3</c:v>
                  </c:pt>
                  <c:pt idx="2">
                    <c:v>3.472222222222222E-3</c:v>
                  </c:pt>
                  <c:pt idx="3">
                    <c:v>2.0833333333333332E-2</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plus>
            <c:spPr>
              <a:ln w="38100">
                <a:solidFill>
                  <a:schemeClr val="accent1"/>
                </a:solidFill>
              </a:ln>
            </c:spPr>
          </c:errBars>
          <c:errBars>
            <c:errDir val="y"/>
            <c:errBarType val="minus"/>
            <c:errValType val="cust"/>
            <c:noEndCap val="1"/>
            <c:minus>
              <c:numRef>
                <c:f>Recept!$K$2:$K$23</c:f>
                <c:numCache>
                  <c:formatCode>General</c:formatCode>
                  <c:ptCount val="22"/>
                  <c:pt idx="0">
                    <c:v>0</c:v>
                  </c:pt>
                  <c:pt idx="1">
                    <c:v>5</c:v>
                  </c:pt>
                  <c:pt idx="2">
                    <c:v>5</c:v>
                  </c:pt>
                  <c:pt idx="3">
                    <c:v>-20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minus>
            <c:spPr>
              <a:ln w="38100">
                <a:solidFill>
                  <a:schemeClr val="accent1"/>
                </a:solidFill>
              </a:ln>
            </c:spPr>
          </c:errBars>
          <c:xVal>
            <c:numRef>
              <c:f>Recept!$J$2:$J$23</c:f>
              <c:numCache>
                <c:formatCode>hh:mm;@</c:formatCode>
                <c:ptCount val="22"/>
                <c:pt idx="0">
                  <c:v>0</c:v>
                </c:pt>
                <c:pt idx="1">
                  <c:v>3.472222222222222E-3</c:v>
                </c:pt>
                <c:pt idx="2">
                  <c:v>1.0416666666666666E-2</c:v>
                </c:pt>
                <c:pt idx="3">
                  <c:v>1.3888888888888888E-2</c:v>
                </c:pt>
                <c:pt idx="4">
                  <c:v>3.4722222222222224E-2</c:v>
                </c:pt>
                <c:pt idx="5">
                  <c:v>3.4722222222222224E-2</c:v>
                </c:pt>
                <c:pt idx="6">
                  <c:v>3.4722222222222224E-2</c:v>
                </c:pt>
                <c:pt idx="7">
                  <c:v>3.4722222222222224E-2</c:v>
                </c:pt>
                <c:pt idx="8">
                  <c:v>3.4722222222222224E-2</c:v>
                </c:pt>
                <c:pt idx="9">
                  <c:v>3.4722222222222224E-2</c:v>
                </c:pt>
                <c:pt idx="10">
                  <c:v>3.4722222222222224E-2</c:v>
                </c:pt>
                <c:pt idx="11">
                  <c:v>3.4722222222222224E-2</c:v>
                </c:pt>
                <c:pt idx="12">
                  <c:v>3.4722222222222224E-2</c:v>
                </c:pt>
                <c:pt idx="13">
                  <c:v>3.4722222222222224E-2</c:v>
                </c:pt>
                <c:pt idx="14">
                  <c:v>3.4722222222222224E-2</c:v>
                </c:pt>
                <c:pt idx="15">
                  <c:v>3.4722222222222224E-2</c:v>
                </c:pt>
                <c:pt idx="16">
                  <c:v>3.4722222222222224E-2</c:v>
                </c:pt>
                <c:pt idx="17">
                  <c:v>3.4722222222222224E-2</c:v>
                </c:pt>
                <c:pt idx="18">
                  <c:v>3.4722222222222224E-2</c:v>
                </c:pt>
                <c:pt idx="19">
                  <c:v>3.4722222222222224E-2</c:v>
                </c:pt>
                <c:pt idx="20">
                  <c:v>3.4722222222222224E-2</c:v>
                </c:pt>
                <c:pt idx="21">
                  <c:v>3.4722222222222224E-2</c:v>
                </c:pt>
              </c:numCache>
            </c:numRef>
          </c:xVal>
          <c:yVal>
            <c:numRef>
              <c:f>Recept!$H$2:$H$23</c:f>
              <c:numCache>
                <c:formatCode>General</c:formatCode>
                <c:ptCount val="22"/>
                <c:pt idx="0">
                  <c:v>30</c:v>
                </c:pt>
                <c:pt idx="1">
                  <c:v>35</c:v>
                </c:pt>
                <c:pt idx="2">
                  <c:v>40</c:v>
                </c:pt>
                <c:pt idx="3">
                  <c:v>20</c:v>
                </c:pt>
              </c:numCache>
            </c:numRef>
          </c:yVal>
          <c:smooth val="0"/>
        </c:ser>
        <c:ser>
          <c:idx val="1"/>
          <c:order val="1"/>
          <c:tx>
            <c:strRef>
              <c:f>Recept!$B$24</c:f>
              <c:strCache>
                <c:ptCount val="1"/>
                <c:pt idx="0">
                  <c:v>Styr (°C)</c:v>
                </c:pt>
              </c:strCache>
            </c:strRef>
          </c:tx>
          <c:spPr>
            <a:ln>
              <a:noFill/>
            </a:ln>
          </c:spPr>
          <c:xVal>
            <c:numRef>
              <c:f>Recept!$A$25:$A$46</c:f>
              <c:numCache>
                <c:formatCode>hh:mm:ss;@</c:formatCode>
                <c:ptCount val="22"/>
              </c:numCache>
            </c:numRef>
          </c:xVal>
          <c:yVal>
            <c:numRef>
              <c:f>Recept!$B$25:$B$46</c:f>
              <c:numCache>
                <c:formatCode>General</c:formatCode>
                <c:ptCount val="22"/>
              </c:numCache>
            </c:numRef>
          </c:yVal>
          <c:smooth val="0"/>
        </c:ser>
        <c:ser>
          <c:idx val="2"/>
          <c:order val="2"/>
          <c:tx>
            <c:strRef>
              <c:f>Recept!$D$24</c:f>
              <c:strCache>
                <c:ptCount val="1"/>
                <c:pt idx="0">
                  <c:v>Mät (°C)</c:v>
                </c:pt>
              </c:strCache>
            </c:strRef>
          </c:tx>
          <c:marker>
            <c:symbol val="circle"/>
            <c:size val="7"/>
          </c:marker>
          <c:xVal>
            <c:numRef>
              <c:f>Recept!$C$25:$C$46</c:f>
              <c:numCache>
                <c:formatCode>hh:mm:ss;@</c:formatCode>
                <c:ptCount val="22"/>
              </c:numCache>
            </c:numRef>
          </c:xVal>
          <c:yVal>
            <c:numRef>
              <c:f>Recept!$D$25:$D$46</c:f>
              <c:numCache>
                <c:formatCode>General</c:formatCode>
                <c:ptCount val="22"/>
              </c:numCache>
            </c:numRef>
          </c:yVal>
          <c:smooth val="0"/>
        </c:ser>
        <c:dLbls>
          <c:showLegendKey val="0"/>
          <c:showVal val="0"/>
          <c:showCatName val="0"/>
          <c:showSerName val="0"/>
          <c:showPercent val="0"/>
          <c:showBubbleSize val="0"/>
        </c:dLbls>
        <c:axId val="62589568"/>
        <c:axId val="69651456"/>
      </c:scatterChart>
      <c:valAx>
        <c:axId val="62589568"/>
        <c:scaling>
          <c:orientation val="minMax"/>
          <c:max val="2.7778000000000008E-2"/>
          <c:min val="0"/>
        </c:scaling>
        <c:delete val="0"/>
        <c:axPos val="b"/>
        <c:numFmt formatCode="hh:mm;@" sourceLinked="0"/>
        <c:majorTickMark val="out"/>
        <c:minorTickMark val="in"/>
        <c:tickLblPos val="nextTo"/>
        <c:txPr>
          <a:bodyPr rot="0" vert="horz"/>
          <a:lstStyle/>
          <a:p>
            <a:pPr>
              <a:defRPr sz="1000" b="0" i="0" u="none" strike="noStrike" baseline="0">
                <a:solidFill>
                  <a:srgbClr val="000000"/>
                </a:solidFill>
                <a:latin typeface="Calibri"/>
                <a:ea typeface="Calibri"/>
                <a:cs typeface="Calibri"/>
              </a:defRPr>
            </a:pPr>
            <a:endParaRPr lang="sv-SE"/>
          </a:p>
        </c:txPr>
        <c:crossAx val="69651456"/>
        <c:crosses val="autoZero"/>
        <c:crossBetween val="midCat"/>
        <c:majorUnit val="6.9440000000000023E-3"/>
        <c:minorUnit val="6.9440000000000018E-4"/>
      </c:valAx>
      <c:valAx>
        <c:axId val="69651456"/>
        <c:scaling>
          <c:orientation val="minMax"/>
        </c:scaling>
        <c:delete val="0"/>
        <c:axPos val="l"/>
        <c:majorGridlines/>
        <c:numFmt formatCode="General" sourceLinked="1"/>
        <c:majorTickMark val="out"/>
        <c:minorTickMark val="none"/>
        <c:tickLblPos val="nextTo"/>
        <c:crossAx val="62589568"/>
        <c:crossesAt val="0"/>
        <c:crossBetween val="midCat"/>
      </c:valAx>
    </c:plotArea>
    <c:legend>
      <c:legendPos val="r"/>
      <c:layout/>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3</xdr:row>
          <xdr:rowOff>66675</xdr:rowOff>
        </xdr:from>
        <xdr:to>
          <xdr:col>1</xdr:col>
          <xdr:colOff>466725</xdr:colOff>
          <xdr:row>4</xdr:row>
          <xdr:rowOff>123825</xdr:rowOff>
        </xdr:to>
        <xdr:sp macro="" textlink="">
          <xdr:nvSpPr>
            <xdr:cNvPr id="1036" name="Button 12" hidden="1">
              <a:extLst>
                <a:ext uri="{63B3BB69-23CF-44E3-9099-C40C66FF867C}">
                  <a14:compatExt spid="_x0000_s103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sv-SE" sz="1100" b="0" i="0" u="none" strike="noStrike" baseline="0">
                  <a:solidFill>
                    <a:srgbClr val="000000"/>
                  </a:solidFill>
                  <a:latin typeface="Calibri"/>
                </a:rPr>
                <a:t>Start</a:t>
              </a:r>
              <a:endParaRPr lang="sv-SE"/>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5</xdr:row>
          <xdr:rowOff>76200</xdr:rowOff>
        </xdr:from>
        <xdr:to>
          <xdr:col>1</xdr:col>
          <xdr:colOff>504825</xdr:colOff>
          <xdr:row>6</xdr:row>
          <xdr:rowOff>152400</xdr:rowOff>
        </xdr:to>
        <xdr:sp macro="" textlink="">
          <xdr:nvSpPr>
            <xdr:cNvPr id="1037" name="Button 13" hidden="1">
              <a:extLst>
                <a:ext uri="{63B3BB69-23CF-44E3-9099-C40C66FF867C}">
                  <a14:compatExt spid="_x0000_s103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sv-SE" sz="1100" b="0" i="0" u="none" strike="noStrike" baseline="0">
                  <a:solidFill>
                    <a:srgbClr val="000000"/>
                  </a:solidFill>
                  <a:latin typeface="Calibri"/>
                </a:rPr>
                <a:t>Stop</a:t>
              </a:r>
              <a:endParaRPr lang="sv-SE"/>
            </a:p>
          </xdr:txBody>
        </xdr:sp>
        <xdr:clientData fPrintsWithSheet="0"/>
      </xdr:twoCellAnchor>
    </mc:Choice>
    <mc:Fallback/>
  </mc:AlternateContent>
  <xdr:twoCellAnchor>
    <xdr:from>
      <xdr:col>0</xdr:col>
      <xdr:colOff>19050</xdr:colOff>
      <xdr:row>7</xdr:row>
      <xdr:rowOff>180975</xdr:rowOff>
    </xdr:from>
    <xdr:to>
      <xdr:col>7</xdr:col>
      <xdr:colOff>0</xdr:colOff>
      <xdr:row>22</xdr:row>
      <xdr:rowOff>66675</xdr:rowOff>
    </xdr:to>
    <xdr:graphicFrame macro="">
      <xdr:nvGraphicFramePr>
        <xdr:cNvPr id="1045"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Y86"/>
  <sheetViews>
    <sheetView tabSelected="1" workbookViewId="0">
      <selection activeCell="B1" sqref="B1:G1"/>
    </sheetView>
  </sheetViews>
  <sheetFormatPr defaultRowHeight="15" x14ac:dyDescent="0.25"/>
  <cols>
    <col min="1" max="1" width="15.5703125" style="1" bestFit="1" customWidth="1"/>
    <col min="2" max="2" width="8" customWidth="1"/>
    <col min="3" max="3" width="8.140625" bestFit="1" customWidth="1"/>
    <col min="4" max="7" width="9.140625" customWidth="1"/>
    <col min="8" max="8" width="12.140625" style="4" bestFit="1" customWidth="1"/>
    <col min="9" max="9" width="8.140625" bestFit="1" customWidth="1"/>
    <col min="10" max="10" width="17.28515625" style="3" bestFit="1" customWidth="1"/>
    <col min="11" max="11" width="8.5703125" bestFit="1" customWidth="1"/>
    <col min="12" max="12" width="17.28515625" style="3" bestFit="1" customWidth="1"/>
    <col min="15" max="15" width="9.140625" style="6"/>
    <col min="17" max="17" width="9.140625" style="6"/>
  </cols>
  <sheetData>
    <row r="1" spans="1:25" x14ac:dyDescent="0.25">
      <c r="A1" s="1" t="s">
        <v>3</v>
      </c>
      <c r="B1" s="16" t="s">
        <v>9</v>
      </c>
      <c r="C1" s="16"/>
      <c r="D1" s="16"/>
      <c r="E1" s="16"/>
      <c r="F1" s="16"/>
      <c r="G1" s="16"/>
      <c r="H1" s="11" t="s">
        <v>5</v>
      </c>
      <c r="I1" s="10" t="s">
        <v>14</v>
      </c>
      <c r="J1" s="12" t="s">
        <v>16</v>
      </c>
      <c r="K1" s="11" t="s">
        <v>13</v>
      </c>
      <c r="L1" s="12" t="s">
        <v>17</v>
      </c>
      <c r="Y1" s="2"/>
    </row>
    <row r="2" spans="1:25" x14ac:dyDescent="0.25">
      <c r="A2" s="1" t="s">
        <v>4</v>
      </c>
      <c r="B2" s="16" t="s">
        <v>1</v>
      </c>
      <c r="C2" s="16"/>
      <c r="D2" s="16"/>
      <c r="E2" s="16"/>
      <c r="F2" s="16"/>
      <c r="G2" s="16"/>
      <c r="H2" s="8">
        <v>30</v>
      </c>
      <c r="I2" s="9">
        <v>5</v>
      </c>
      <c r="J2" s="2">
        <v>0</v>
      </c>
      <c r="K2" t="str">
        <f t="shared" ref="K2:K7" si="0">IF(OR(ISTEXT(H1),H2=""),"",H2-H1)</f>
        <v/>
      </c>
      <c r="L2" s="15">
        <f>IF(I2="","",I2/1440)</f>
        <v>3.472222222222222E-3</v>
      </c>
      <c r="Y2" s="5"/>
    </row>
    <row r="3" spans="1:25" x14ac:dyDescent="0.25">
      <c r="A3" s="1" t="s">
        <v>2</v>
      </c>
      <c r="B3" s="16" t="s">
        <v>33</v>
      </c>
      <c r="C3" s="16"/>
      <c r="D3" s="16"/>
      <c r="E3" s="16"/>
      <c r="F3" s="16"/>
      <c r="G3" s="16"/>
      <c r="H3" s="8">
        <v>35</v>
      </c>
      <c r="I3" s="9">
        <v>10</v>
      </c>
      <c r="J3" s="2">
        <f>IF(H2="",J2,J2+L2)</f>
        <v>3.472222222222222E-3</v>
      </c>
      <c r="K3">
        <f t="shared" si="0"/>
        <v>5</v>
      </c>
      <c r="L3" s="15">
        <f t="shared" ref="L3:L23" si="1">IF(I3="","",I3/1440)</f>
        <v>6.9444444444444441E-3</v>
      </c>
      <c r="Y3" s="5"/>
    </row>
    <row r="4" spans="1:25" x14ac:dyDescent="0.25">
      <c r="A4"/>
      <c r="C4" t="s">
        <v>10</v>
      </c>
      <c r="H4" s="8">
        <v>40</v>
      </c>
      <c r="I4" s="9">
        <v>5</v>
      </c>
      <c r="J4" s="2">
        <f>IF(H3="",J3,J3+L3)</f>
        <v>1.0416666666666666E-2</v>
      </c>
      <c r="K4">
        <f t="shared" si="0"/>
        <v>5</v>
      </c>
      <c r="L4" s="15">
        <f t="shared" si="1"/>
        <v>3.472222222222222E-3</v>
      </c>
      <c r="Y4" s="5"/>
    </row>
    <row r="5" spans="1:25" x14ac:dyDescent="0.25">
      <c r="A5"/>
      <c r="H5" s="8">
        <v>20</v>
      </c>
      <c r="I5" s="9">
        <v>30</v>
      </c>
      <c r="J5" s="2">
        <f>IF(H4="",J4,J4+L4)</f>
        <v>1.3888888888888888E-2</v>
      </c>
      <c r="K5">
        <f t="shared" si="0"/>
        <v>-20</v>
      </c>
      <c r="L5" s="15">
        <f t="shared" si="1"/>
        <v>2.0833333333333332E-2</v>
      </c>
      <c r="Y5" s="5"/>
    </row>
    <row r="6" spans="1:25" x14ac:dyDescent="0.25">
      <c r="A6"/>
      <c r="C6" t="s">
        <v>11</v>
      </c>
      <c r="H6" s="8"/>
      <c r="I6" s="9"/>
      <c r="J6" s="2">
        <f>IF(H5="",J5,J5+L5)</f>
        <v>3.4722222222222224E-2</v>
      </c>
      <c r="K6" t="str">
        <f t="shared" si="0"/>
        <v/>
      </c>
      <c r="L6" s="15" t="str">
        <f t="shared" si="1"/>
        <v/>
      </c>
      <c r="Y6" s="5"/>
    </row>
    <row r="7" spans="1:25" x14ac:dyDescent="0.25">
      <c r="A7"/>
      <c r="C7" s="14" t="b">
        <v>0</v>
      </c>
      <c r="H7" s="8"/>
      <c r="I7" s="9"/>
      <c r="J7" s="2">
        <f t="shared" ref="J7:J23" si="2">IF(H6="",J6,J6+L6)</f>
        <v>3.4722222222222224E-2</v>
      </c>
      <c r="K7" t="str">
        <f t="shared" si="0"/>
        <v/>
      </c>
      <c r="L7" s="15" t="str">
        <f t="shared" si="1"/>
        <v/>
      </c>
      <c r="Y7" s="5"/>
    </row>
    <row r="8" spans="1:25" x14ac:dyDescent="0.25">
      <c r="H8" s="8"/>
      <c r="I8" s="9"/>
      <c r="J8" s="2">
        <f t="shared" si="2"/>
        <v>3.4722222222222224E-2</v>
      </c>
      <c r="K8" t="str">
        <f t="shared" ref="K8:K23" si="3">IF(OR(ISTEXT(H7),H8=""),"",H8-H7)</f>
        <v/>
      </c>
      <c r="L8" s="15" t="str">
        <f t="shared" si="1"/>
        <v/>
      </c>
      <c r="Y8" s="5"/>
    </row>
    <row r="9" spans="1:25" x14ac:dyDescent="0.25">
      <c r="H9" s="8"/>
      <c r="I9" s="9"/>
      <c r="J9" s="2">
        <f t="shared" si="2"/>
        <v>3.4722222222222224E-2</v>
      </c>
      <c r="K9" t="str">
        <f t="shared" si="3"/>
        <v/>
      </c>
      <c r="L9" s="15" t="str">
        <f t="shared" si="1"/>
        <v/>
      </c>
      <c r="Y9" s="5"/>
    </row>
    <row r="10" spans="1:25" x14ac:dyDescent="0.25">
      <c r="H10" s="8"/>
      <c r="I10" s="9"/>
      <c r="J10" s="2">
        <f t="shared" si="2"/>
        <v>3.4722222222222224E-2</v>
      </c>
      <c r="K10" t="str">
        <f t="shared" si="3"/>
        <v/>
      </c>
      <c r="L10" s="15" t="str">
        <f t="shared" si="1"/>
        <v/>
      </c>
      <c r="Y10" s="5"/>
    </row>
    <row r="11" spans="1:25" x14ac:dyDescent="0.25">
      <c r="H11" s="8"/>
      <c r="I11" s="9"/>
      <c r="J11" s="2">
        <f t="shared" si="2"/>
        <v>3.4722222222222224E-2</v>
      </c>
      <c r="K11" t="str">
        <f t="shared" si="3"/>
        <v/>
      </c>
      <c r="L11" s="15" t="str">
        <f t="shared" si="1"/>
        <v/>
      </c>
      <c r="Y11" s="5"/>
    </row>
    <row r="12" spans="1:25" x14ac:dyDescent="0.25">
      <c r="H12" s="8"/>
      <c r="I12" s="9"/>
      <c r="J12" s="2">
        <f t="shared" si="2"/>
        <v>3.4722222222222224E-2</v>
      </c>
      <c r="K12" t="str">
        <f t="shared" si="3"/>
        <v/>
      </c>
      <c r="L12" s="15" t="str">
        <f t="shared" si="1"/>
        <v/>
      </c>
      <c r="Y12" s="5"/>
    </row>
    <row r="13" spans="1:25" x14ac:dyDescent="0.25">
      <c r="H13" s="8"/>
      <c r="I13" s="9"/>
      <c r="J13" s="2">
        <f t="shared" si="2"/>
        <v>3.4722222222222224E-2</v>
      </c>
      <c r="K13" t="str">
        <f t="shared" si="3"/>
        <v/>
      </c>
      <c r="L13" s="15" t="str">
        <f t="shared" si="1"/>
        <v/>
      </c>
      <c r="Y13" s="5"/>
    </row>
    <row r="14" spans="1:25" x14ac:dyDescent="0.25">
      <c r="H14" s="8"/>
      <c r="I14" s="9"/>
      <c r="J14" s="2">
        <f t="shared" si="2"/>
        <v>3.4722222222222224E-2</v>
      </c>
      <c r="K14" t="str">
        <f t="shared" si="3"/>
        <v/>
      </c>
      <c r="L14" s="15" t="str">
        <f t="shared" si="1"/>
        <v/>
      </c>
      <c r="Y14" s="5"/>
    </row>
    <row r="15" spans="1:25" x14ac:dyDescent="0.25">
      <c r="H15" s="8"/>
      <c r="I15" s="9"/>
      <c r="J15" s="2">
        <f t="shared" si="2"/>
        <v>3.4722222222222224E-2</v>
      </c>
      <c r="K15" t="str">
        <f t="shared" si="3"/>
        <v/>
      </c>
      <c r="L15" s="15" t="str">
        <f t="shared" si="1"/>
        <v/>
      </c>
      <c r="Y15" s="5"/>
    </row>
    <row r="16" spans="1:25" x14ac:dyDescent="0.25">
      <c r="H16" s="8"/>
      <c r="I16" s="9"/>
      <c r="J16" s="2">
        <f t="shared" si="2"/>
        <v>3.4722222222222224E-2</v>
      </c>
      <c r="K16" t="str">
        <f t="shared" si="3"/>
        <v/>
      </c>
      <c r="L16" s="15" t="str">
        <f t="shared" si="1"/>
        <v/>
      </c>
      <c r="Y16" s="5"/>
    </row>
    <row r="17" spans="1:25" x14ac:dyDescent="0.25">
      <c r="H17" s="8"/>
      <c r="I17" s="9"/>
      <c r="J17" s="2">
        <f t="shared" si="2"/>
        <v>3.4722222222222224E-2</v>
      </c>
      <c r="K17" t="str">
        <f t="shared" si="3"/>
        <v/>
      </c>
      <c r="L17" s="15" t="str">
        <f t="shared" si="1"/>
        <v/>
      </c>
      <c r="Y17" s="5"/>
    </row>
    <row r="18" spans="1:25" x14ac:dyDescent="0.25">
      <c r="H18" s="8"/>
      <c r="I18" s="9"/>
      <c r="J18" s="2">
        <f t="shared" si="2"/>
        <v>3.4722222222222224E-2</v>
      </c>
      <c r="K18" t="str">
        <f t="shared" si="3"/>
        <v/>
      </c>
      <c r="L18" s="15" t="str">
        <f t="shared" si="1"/>
        <v/>
      </c>
      <c r="Y18" s="5"/>
    </row>
    <row r="19" spans="1:25" x14ac:dyDescent="0.25">
      <c r="H19" s="8"/>
      <c r="I19" s="9"/>
      <c r="J19" s="2">
        <f t="shared" si="2"/>
        <v>3.4722222222222224E-2</v>
      </c>
      <c r="K19" t="str">
        <f t="shared" si="3"/>
        <v/>
      </c>
      <c r="L19" s="15" t="str">
        <f t="shared" si="1"/>
        <v/>
      </c>
      <c r="Y19" s="5"/>
    </row>
    <row r="20" spans="1:25" x14ac:dyDescent="0.25">
      <c r="H20" s="8"/>
      <c r="I20" s="9"/>
      <c r="J20" s="2">
        <f t="shared" si="2"/>
        <v>3.4722222222222224E-2</v>
      </c>
      <c r="K20" t="str">
        <f t="shared" si="3"/>
        <v/>
      </c>
      <c r="L20" s="15" t="str">
        <f t="shared" si="1"/>
        <v/>
      </c>
      <c r="Y20" s="5"/>
    </row>
    <row r="21" spans="1:25" x14ac:dyDescent="0.25">
      <c r="H21" s="8"/>
      <c r="I21" s="9"/>
      <c r="J21" s="2">
        <f t="shared" si="2"/>
        <v>3.4722222222222224E-2</v>
      </c>
      <c r="K21" t="str">
        <f t="shared" si="3"/>
        <v/>
      </c>
      <c r="L21" s="15" t="str">
        <f t="shared" si="1"/>
        <v/>
      </c>
      <c r="Y21" s="5"/>
    </row>
    <row r="22" spans="1:25" x14ac:dyDescent="0.25">
      <c r="H22" s="8"/>
      <c r="I22" s="9"/>
      <c r="J22" s="2">
        <f t="shared" si="2"/>
        <v>3.4722222222222224E-2</v>
      </c>
      <c r="K22" t="str">
        <f t="shared" si="3"/>
        <v/>
      </c>
      <c r="L22" s="15" t="str">
        <f t="shared" si="1"/>
        <v/>
      </c>
      <c r="Y22" s="5"/>
    </row>
    <row r="23" spans="1:25" x14ac:dyDescent="0.25">
      <c r="H23" s="8"/>
      <c r="I23" s="9"/>
      <c r="J23" s="2">
        <f t="shared" si="2"/>
        <v>3.4722222222222224E-2</v>
      </c>
      <c r="K23" t="str">
        <f t="shared" si="3"/>
        <v/>
      </c>
      <c r="L23" s="15" t="str">
        <f t="shared" si="1"/>
        <v/>
      </c>
      <c r="Y23" s="5"/>
    </row>
    <row r="24" spans="1:25" x14ac:dyDescent="0.25">
      <c r="A24" s="13" t="s">
        <v>18</v>
      </c>
      <c r="B24" s="11" t="s">
        <v>6</v>
      </c>
      <c r="C24" s="13" t="s">
        <v>8</v>
      </c>
      <c r="D24" s="11" t="s">
        <v>7</v>
      </c>
      <c r="F24" s="10" t="s">
        <v>15</v>
      </c>
      <c r="G24" s="10"/>
      <c r="Y24" s="5"/>
    </row>
    <row r="25" spans="1:25" x14ac:dyDescent="0.25">
      <c r="A25" s="7"/>
      <c r="C25" s="7"/>
      <c r="F25" t="s">
        <v>0</v>
      </c>
      <c r="G25" t="s">
        <v>12</v>
      </c>
      <c r="Y25" s="5"/>
    </row>
    <row r="26" spans="1:25" x14ac:dyDescent="0.25">
      <c r="A26" s="6"/>
      <c r="C26" s="7"/>
      <c r="F26">
        <v>1</v>
      </c>
      <c r="G26">
        <f>F26/1440</f>
        <v>6.9444444444444447E-4</v>
      </c>
      <c r="Y26" s="5"/>
    </row>
    <row r="27" spans="1:25" x14ac:dyDescent="0.25">
      <c r="A27" s="7"/>
      <c r="C27" s="7"/>
      <c r="F27">
        <v>10</v>
      </c>
      <c r="G27">
        <f>F27/1440</f>
        <v>6.9444444444444441E-3</v>
      </c>
      <c r="Y27" s="5"/>
    </row>
    <row r="28" spans="1:25" x14ac:dyDescent="0.25">
      <c r="A28" s="7"/>
      <c r="C28" s="7"/>
      <c r="F28">
        <f>G28*1440</f>
        <v>50</v>
      </c>
      <c r="G28" s="4">
        <f>MAX(J2:J23)</f>
        <v>3.4722222222222224E-2</v>
      </c>
      <c r="Y28" s="5"/>
    </row>
    <row r="29" spans="1:25" x14ac:dyDescent="0.25">
      <c r="A29" s="7"/>
      <c r="C29" s="7"/>
      <c r="Y29" s="5"/>
    </row>
    <row r="30" spans="1:25" x14ac:dyDescent="0.25">
      <c r="A30" s="7"/>
      <c r="C30" s="7"/>
      <c r="Y30" s="5"/>
    </row>
    <row r="31" spans="1:25" x14ac:dyDescent="0.25">
      <c r="A31" s="7"/>
      <c r="C31" s="6"/>
      <c r="Y31" s="5"/>
    </row>
    <row r="32" spans="1:25" x14ac:dyDescent="0.25">
      <c r="A32" s="6"/>
      <c r="C32" s="7"/>
      <c r="Y32" s="5"/>
    </row>
    <row r="33" spans="1:25" x14ac:dyDescent="0.25">
      <c r="A33" s="7"/>
      <c r="C33" s="7"/>
      <c r="Y33" s="5"/>
    </row>
    <row r="34" spans="1:25" x14ac:dyDescent="0.25">
      <c r="A34" s="7"/>
      <c r="C34" s="7"/>
      <c r="Y34" s="5"/>
    </row>
    <row r="35" spans="1:25" x14ac:dyDescent="0.25">
      <c r="A35" s="7"/>
      <c r="C35" s="6"/>
      <c r="Y35" s="5"/>
    </row>
    <row r="36" spans="1:25" x14ac:dyDescent="0.25">
      <c r="A36" s="7"/>
      <c r="C36" s="7"/>
      <c r="Y36" s="5"/>
    </row>
    <row r="37" spans="1:25" x14ac:dyDescent="0.25">
      <c r="A37" s="7"/>
      <c r="C37" s="7"/>
      <c r="Y37" s="5"/>
    </row>
    <row r="38" spans="1:25" x14ac:dyDescent="0.25">
      <c r="A38" s="7"/>
      <c r="C38" s="7"/>
      <c r="Y38" s="5"/>
    </row>
    <row r="39" spans="1:25" x14ac:dyDescent="0.25">
      <c r="A39" s="7"/>
      <c r="C39" s="7"/>
      <c r="Y39" s="5"/>
    </row>
    <row r="40" spans="1:25" x14ac:dyDescent="0.25">
      <c r="A40" s="7"/>
      <c r="C40" s="7"/>
      <c r="Y40" s="5"/>
    </row>
    <row r="41" spans="1:25" x14ac:dyDescent="0.25">
      <c r="A41" s="7"/>
      <c r="C41" s="7"/>
      <c r="Y41" s="5"/>
    </row>
    <row r="42" spans="1:25" x14ac:dyDescent="0.25">
      <c r="A42" s="7"/>
      <c r="C42" s="7"/>
      <c r="Y42" s="5"/>
    </row>
    <row r="43" spans="1:25" x14ac:dyDescent="0.25">
      <c r="A43" s="7"/>
      <c r="C43" s="7"/>
      <c r="Y43" s="5"/>
    </row>
    <row r="44" spans="1:25" x14ac:dyDescent="0.25">
      <c r="A44" s="7"/>
      <c r="C44" s="7"/>
      <c r="Y44" s="5"/>
    </row>
    <row r="45" spans="1:25" x14ac:dyDescent="0.25">
      <c r="A45" s="7"/>
      <c r="C45" s="7"/>
      <c r="Y45" s="5"/>
    </row>
    <row r="46" spans="1:25" x14ac:dyDescent="0.25">
      <c r="A46" s="7"/>
      <c r="C46" s="7"/>
      <c r="Y46" s="5"/>
    </row>
    <row r="47" spans="1:25" x14ac:dyDescent="0.25">
      <c r="Y47" s="5"/>
    </row>
    <row r="48" spans="1:25" x14ac:dyDescent="0.25">
      <c r="Y48" s="5"/>
    </row>
    <row r="49" spans="25:25" x14ac:dyDescent="0.25">
      <c r="Y49" s="5"/>
    </row>
    <row r="50" spans="25:25" x14ac:dyDescent="0.25">
      <c r="Y50" s="5"/>
    </row>
    <row r="51" spans="25:25" x14ac:dyDescent="0.25">
      <c r="Y51" s="5"/>
    </row>
    <row r="52" spans="25:25" x14ac:dyDescent="0.25">
      <c r="Y52" s="5"/>
    </row>
    <row r="53" spans="25:25" x14ac:dyDescent="0.25">
      <c r="Y53" s="5"/>
    </row>
    <row r="54" spans="25:25" x14ac:dyDescent="0.25">
      <c r="Y54" s="5"/>
    </row>
    <row r="55" spans="25:25" x14ac:dyDescent="0.25">
      <c r="Y55" s="5"/>
    </row>
    <row r="56" spans="25:25" x14ac:dyDescent="0.25">
      <c r="Y56" s="5"/>
    </row>
    <row r="57" spans="25:25" x14ac:dyDescent="0.25">
      <c r="Y57" s="5"/>
    </row>
    <row r="58" spans="25:25" x14ac:dyDescent="0.25">
      <c r="Y58" s="5"/>
    </row>
    <row r="59" spans="25:25" x14ac:dyDescent="0.25">
      <c r="Y59" s="5"/>
    </row>
    <row r="60" spans="25:25" x14ac:dyDescent="0.25">
      <c r="Y60" s="5"/>
    </row>
    <row r="61" spans="25:25" x14ac:dyDescent="0.25">
      <c r="Y61" s="5"/>
    </row>
    <row r="62" spans="25:25" x14ac:dyDescent="0.25">
      <c r="Y62" s="5"/>
    </row>
    <row r="63" spans="25:25" x14ac:dyDescent="0.25">
      <c r="Y63" s="5"/>
    </row>
    <row r="64" spans="25:25" x14ac:dyDescent="0.25">
      <c r="Y64" s="5"/>
    </row>
    <row r="65" spans="25:25" x14ac:dyDescent="0.25">
      <c r="Y65" s="5"/>
    </row>
    <row r="66" spans="25:25" x14ac:dyDescent="0.25">
      <c r="Y66" s="5"/>
    </row>
    <row r="67" spans="25:25" x14ac:dyDescent="0.25">
      <c r="Y67" s="5"/>
    </row>
    <row r="68" spans="25:25" x14ac:dyDescent="0.25">
      <c r="Y68" s="5"/>
    </row>
    <row r="69" spans="25:25" x14ac:dyDescent="0.25">
      <c r="Y69" s="5"/>
    </row>
    <row r="70" spans="25:25" x14ac:dyDescent="0.25">
      <c r="Y70" s="5"/>
    </row>
    <row r="71" spans="25:25" x14ac:dyDescent="0.25">
      <c r="Y71" s="5"/>
    </row>
    <row r="72" spans="25:25" x14ac:dyDescent="0.25">
      <c r="Y72" s="5"/>
    </row>
    <row r="73" spans="25:25" x14ac:dyDescent="0.25">
      <c r="Y73" s="5"/>
    </row>
    <row r="74" spans="25:25" x14ac:dyDescent="0.25">
      <c r="Y74" s="5"/>
    </row>
    <row r="75" spans="25:25" x14ac:dyDescent="0.25">
      <c r="Y75" s="5"/>
    </row>
    <row r="76" spans="25:25" x14ac:dyDescent="0.25">
      <c r="Y76" s="5"/>
    </row>
    <row r="77" spans="25:25" x14ac:dyDescent="0.25">
      <c r="Y77" s="5"/>
    </row>
    <row r="78" spans="25:25" x14ac:dyDescent="0.25">
      <c r="Y78" s="5"/>
    </row>
    <row r="79" spans="25:25" x14ac:dyDescent="0.25">
      <c r="Y79" s="5"/>
    </row>
    <row r="80" spans="25:25" x14ac:dyDescent="0.25">
      <c r="Y80" s="5"/>
    </row>
    <row r="81" spans="25:25" x14ac:dyDescent="0.25">
      <c r="Y81" s="5"/>
    </row>
    <row r="82" spans="25:25" x14ac:dyDescent="0.25">
      <c r="Y82" s="5"/>
    </row>
    <row r="83" spans="25:25" x14ac:dyDescent="0.25">
      <c r="Y83" s="5"/>
    </row>
    <row r="84" spans="25:25" x14ac:dyDescent="0.25">
      <c r="Y84" s="5"/>
    </row>
    <row r="85" spans="25:25" x14ac:dyDescent="0.25">
      <c r="Y85" s="5"/>
    </row>
    <row r="86" spans="25:25" x14ac:dyDescent="0.25">
      <c r="Y86" s="5"/>
    </row>
  </sheetData>
  <mergeCells count="3">
    <mergeCell ref="B1:G1"/>
    <mergeCell ref="B2:G2"/>
    <mergeCell ref="B3:G3"/>
  </mergeCells>
  <pageMargins left="0.7" right="0.7" top="0.75" bottom="0.75" header="0.30000000000000004" footer="0.30000000000000004"/>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36" r:id="rId4" name="Button 12">
              <controlPr defaultSize="0" print="0" autoFill="0" autoPict="0" macro="[0]!StartOven">
                <anchor moveWithCells="1" sizeWithCells="1">
                  <from>
                    <xdr:col>0</xdr:col>
                    <xdr:colOff>190500</xdr:colOff>
                    <xdr:row>3</xdr:row>
                    <xdr:rowOff>66675</xdr:rowOff>
                  </from>
                  <to>
                    <xdr:col>1</xdr:col>
                    <xdr:colOff>466725</xdr:colOff>
                    <xdr:row>4</xdr:row>
                    <xdr:rowOff>123825</xdr:rowOff>
                  </to>
                </anchor>
              </controlPr>
            </control>
          </mc:Choice>
        </mc:AlternateContent>
        <mc:AlternateContent xmlns:mc="http://schemas.openxmlformats.org/markup-compatibility/2006">
          <mc:Choice Requires="x14">
            <control shapeId="1037" r:id="rId5" name="Button 13">
              <controlPr defaultSize="0" print="0" autoFill="0" autoPict="0" macro="[0]!StopOven">
                <anchor moveWithCells="1" sizeWithCells="1">
                  <from>
                    <xdr:col>0</xdr:col>
                    <xdr:colOff>190500</xdr:colOff>
                    <xdr:row>5</xdr:row>
                    <xdr:rowOff>76200</xdr:rowOff>
                  </from>
                  <to>
                    <xdr:col>1</xdr:col>
                    <xdr:colOff>504825</xdr:colOff>
                    <xdr:row>6</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26"/>
  <sheetViews>
    <sheetView workbookViewId="0">
      <selection activeCell="D28" sqref="D28"/>
    </sheetView>
  </sheetViews>
  <sheetFormatPr defaultRowHeight="15" x14ac:dyDescent="0.25"/>
  <sheetData>
    <row r="1" spans="1:1" x14ac:dyDescent="0.25">
      <c r="A1" s="11" t="s">
        <v>21</v>
      </c>
    </row>
    <row r="2" spans="1:1" x14ac:dyDescent="0.25">
      <c r="A2" s="4"/>
    </row>
    <row r="3" spans="1:1" x14ac:dyDescent="0.25">
      <c r="A3" s="4" t="s">
        <v>43</v>
      </c>
    </row>
    <row r="4" spans="1:1" x14ac:dyDescent="0.25">
      <c r="A4" s="4"/>
    </row>
    <row r="5" spans="1:1" x14ac:dyDescent="0.25">
      <c r="A5" s="4" t="s">
        <v>19</v>
      </c>
    </row>
    <row r="6" spans="1:1" x14ac:dyDescent="0.25">
      <c r="A6" s="4"/>
    </row>
    <row r="7" spans="1:1" x14ac:dyDescent="0.25">
      <c r="A7" s="4" t="s">
        <v>47</v>
      </c>
    </row>
    <row r="8" spans="1:1" x14ac:dyDescent="0.25">
      <c r="A8" s="4"/>
    </row>
    <row r="9" spans="1:1" x14ac:dyDescent="0.25">
      <c r="A9" s="4" t="s">
        <v>20</v>
      </c>
    </row>
    <row r="10" spans="1:1" x14ac:dyDescent="0.25">
      <c r="A10" s="4"/>
    </row>
    <row r="11" spans="1:1" x14ac:dyDescent="0.25">
      <c r="A11" t="s">
        <v>37</v>
      </c>
    </row>
    <row r="13" spans="1:1" x14ac:dyDescent="0.25">
      <c r="A13" t="s">
        <v>38</v>
      </c>
    </row>
    <row r="15" spans="1:1" x14ac:dyDescent="0.25">
      <c r="A15" t="s">
        <v>39</v>
      </c>
    </row>
    <row r="17" spans="1:1" x14ac:dyDescent="0.25">
      <c r="A17" t="s">
        <v>40</v>
      </c>
    </row>
    <row r="19" spans="1:1" x14ac:dyDescent="0.25">
      <c r="A19" t="s">
        <v>41</v>
      </c>
    </row>
    <row r="21" spans="1:1" x14ac:dyDescent="0.25">
      <c r="A21" t="s">
        <v>42</v>
      </c>
    </row>
    <row r="23" spans="1:1" x14ac:dyDescent="0.25">
      <c r="A23" t="s">
        <v>49</v>
      </c>
    </row>
    <row r="24" spans="1:1" x14ac:dyDescent="0.25">
      <c r="A24" t="s">
        <v>48</v>
      </c>
    </row>
    <row r="25" spans="1:1" x14ac:dyDescent="0.25">
      <c r="A25" t="s">
        <v>50</v>
      </c>
    </row>
    <row r="26" spans="1:1" x14ac:dyDescent="0.25">
      <c r="A26" t="s">
        <v>51</v>
      </c>
    </row>
  </sheetData>
  <pageMargins left="0.7" right="0.7" top="0.75" bottom="0.75" header="0.30000000000000004" footer="0.3000000000000000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F10"/>
  <sheetViews>
    <sheetView workbookViewId="0">
      <selection activeCell="B12" sqref="B12"/>
    </sheetView>
  </sheetViews>
  <sheetFormatPr defaultRowHeight="15" x14ac:dyDescent="0.25"/>
  <cols>
    <col min="1" max="1" width="10.28515625" bestFit="1" customWidth="1"/>
    <col min="2" max="2" width="53.7109375" bestFit="1" customWidth="1"/>
    <col min="3" max="3" width="12.140625" bestFit="1" customWidth="1"/>
    <col min="4" max="4" width="8.140625" bestFit="1" customWidth="1"/>
  </cols>
  <sheetData>
    <row r="1" spans="1:6" x14ac:dyDescent="0.25">
      <c r="A1" s="18" t="s">
        <v>44</v>
      </c>
      <c r="B1" s="18"/>
      <c r="C1" s="18"/>
      <c r="D1" s="18"/>
      <c r="E1" s="18"/>
      <c r="F1" s="18"/>
    </row>
    <row r="2" spans="1:6" ht="233.25" customHeight="1" x14ac:dyDescent="0.25">
      <c r="A2" s="17" t="s">
        <v>45</v>
      </c>
      <c r="B2" s="17"/>
      <c r="C2" s="17"/>
      <c r="D2" s="17"/>
      <c r="E2" s="17"/>
      <c r="F2" s="17"/>
    </row>
    <row r="4" spans="1:6" x14ac:dyDescent="0.25">
      <c r="A4" s="10" t="s">
        <v>36</v>
      </c>
      <c r="B4" s="10" t="s">
        <v>28</v>
      </c>
      <c r="C4" s="10" t="s">
        <v>25</v>
      </c>
      <c r="E4" s="10"/>
    </row>
    <row r="5" spans="1:6" x14ac:dyDescent="0.25">
      <c r="A5" t="s">
        <v>24</v>
      </c>
      <c r="B5" t="s">
        <v>22</v>
      </c>
      <c r="C5" t="s">
        <v>9</v>
      </c>
    </row>
    <row r="6" spans="1:6" x14ac:dyDescent="0.25">
      <c r="A6" t="s">
        <v>27</v>
      </c>
      <c r="B6" t="s">
        <v>29</v>
      </c>
      <c r="C6" t="s">
        <v>1</v>
      </c>
    </row>
    <row r="7" spans="1:6" x14ac:dyDescent="0.25">
      <c r="A7" t="s">
        <v>32</v>
      </c>
      <c r="B7" t="s">
        <v>46</v>
      </c>
      <c r="C7" t="s">
        <v>33</v>
      </c>
    </row>
    <row r="8" spans="1:6" x14ac:dyDescent="0.25">
      <c r="A8" t="s">
        <v>23</v>
      </c>
      <c r="B8" t="s">
        <v>26</v>
      </c>
      <c r="C8" s="11" t="s">
        <v>5</v>
      </c>
      <c r="D8" s="10" t="s">
        <v>14</v>
      </c>
    </row>
    <row r="9" spans="1:6" x14ac:dyDescent="0.25">
      <c r="A9" t="s">
        <v>30</v>
      </c>
      <c r="B9" t="s">
        <v>31</v>
      </c>
      <c r="C9" s="13" t="s">
        <v>18</v>
      </c>
      <c r="D9" s="11" t="s">
        <v>6</v>
      </c>
      <c r="E9" s="13" t="s">
        <v>8</v>
      </c>
      <c r="F9" s="11" t="s">
        <v>7</v>
      </c>
    </row>
    <row r="10" spans="1:6" x14ac:dyDescent="0.25">
      <c r="A10" t="s">
        <v>34</v>
      </c>
      <c r="B10" t="s">
        <v>35</v>
      </c>
      <c r="C10" s="14" t="b">
        <v>0</v>
      </c>
    </row>
  </sheetData>
  <mergeCells count="2">
    <mergeCell ref="A2:F2"/>
    <mergeCell ref="A1:F1"/>
  </mergeCells>
  <pageMargins left="0.7" right="0.7" top="0.75" bottom="0.75" header="0.30000000000000004" footer="0.30000000000000004"/>
</worksheet>
</file>

<file path=docProps/app.xml><?xml version="1.0" encoding="utf-8"?>
<Properties xmlns="http://schemas.openxmlformats.org/officeDocument/2006/extended-properties" xmlns:vt="http://schemas.openxmlformats.org/officeDocument/2006/docPropsVTypes">
  <TotalTime>1</TotalTime>
  <Application>Microsoft Excel</Application>
  <DocSecurity>0</DocSecurity>
  <ScaleCrop>false</ScaleCrop>
  <HeadingPairs>
    <vt:vector size="4" baseType="variant">
      <vt:variant>
        <vt:lpstr>Worksheets</vt:lpstr>
      </vt:variant>
      <vt:variant>
        <vt:i4>3</vt:i4>
      </vt:variant>
      <vt:variant>
        <vt:lpstr>Named Ranges</vt:lpstr>
      </vt:variant>
      <vt:variant>
        <vt:i4>7</vt:i4>
      </vt:variant>
    </vt:vector>
  </HeadingPairs>
  <TitlesOfParts>
    <vt:vector size="10" baseType="lpstr">
      <vt:lpstr>Recept</vt:lpstr>
      <vt:lpstr>Installation</vt:lpstr>
      <vt:lpstr>Dokumentation</vt:lpstr>
      <vt:lpstr>comport</vt:lpstr>
      <vt:lpstr>degCmin</vt:lpstr>
      <vt:lpstr>program</vt:lpstr>
      <vt:lpstr>python</vt:lpstr>
      <vt:lpstr>report</vt:lpstr>
      <vt:lpstr>service</vt:lpstr>
      <vt:lpstr>stop</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Joakim Pettersson</dc:creator>
  <cp:lastModifiedBy>Joakim Pettersson</cp:lastModifiedBy>
  <cp:revision>1</cp:revision>
  <dcterms:created xsi:type="dcterms:W3CDTF">2013-01-02T14:09:00Z</dcterms:created>
  <dcterms:modified xsi:type="dcterms:W3CDTF">2013-01-15T15:24:36Z</dcterms:modified>
</cp:coreProperties>
</file>